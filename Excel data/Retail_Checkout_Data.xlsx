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kanda Gowda\Downloads\"/>
    </mc:Choice>
  </mc:AlternateContent>
  <xr:revisionPtr revIDLastSave="0" documentId="13_ncr:1_{7D0CA401-F6E9-4C99-B3B8-CFD6C1B1917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tail Checkout Data" sheetId="1" r:id="rId1"/>
    <sheet name="Measure Analysis" sheetId="2" r:id="rId2"/>
  </sheets>
  <definedNames>
    <definedName name="_xlchart.v1.0" hidden="1">'Retail Checkout Data'!$C$2:$C$36</definedName>
    <definedName name="_xlchart.v1.1" hidden="1">'Retail Checkout Data'!$C$2:$C$36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<sst xmlns="http://schemas.openxmlformats.org/spreadsheetml/2006/main" count="22" uniqueCount="22">
  <si>
    <t>Customer No</t>
  </si>
  <si>
    <t>Queue Length</t>
  </si>
  <si>
    <t>Waiting Time (min)</t>
  </si>
  <si>
    <t>No. of Items</t>
  </si>
  <si>
    <t>Billing Time (min)</t>
  </si>
  <si>
    <t>Folding &amp; Packing Time (min)</t>
  </si>
  <si>
    <t>Active Counters</t>
  </si>
  <si>
    <t>KPI</t>
  </si>
  <si>
    <t>Result</t>
  </si>
  <si>
    <t>Interpretation</t>
  </si>
  <si>
    <t>Average Waiting Time</t>
  </si>
  <si>
    <t>Customers wait more than 10 minutes on average before service begins.</t>
  </si>
  <si>
    <t>Average Billing Time</t>
  </si>
  <si>
    <t>The billing transaction itself takes over 3 minutes on average.</t>
  </si>
  <si>
    <t>Average Folding &amp; Packing Time</t>
  </si>
  <si>
    <t>Folding and packing add additional service time at the checkout counter.</t>
  </si>
  <si>
    <t>Maximum Waiting Time</t>
  </si>
  <si>
    <t>During peak periods, customers may wait nearly 15 minutes.</t>
  </si>
  <si>
    <t>Minimum Waiting Time</t>
  </si>
  <si>
    <t>Even the shortest observed waiting time is relatively high.</t>
  </si>
  <si>
    <t>Standard Deviation</t>
  </si>
  <si>
    <t>Waiting times vary by approximately 2 minutes, indicating inconsistent service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</si>
</sst>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600" b="1" strike="noStrike" spc="-1">
                <a:solidFill>
                  <a:srgbClr val="808080"/>
                </a:solidFill>
                <a:latin typeface="Cambria"/>
              </a:defRPr>
            </a:pPr>
            <a:r>
              <a:rPr lang="en-IN" sz="1600" b="1" strike="noStrike" spc="-1">
                <a:solidFill>
                  <a:srgbClr val="808080"/>
                </a:solidFill>
                <a:latin typeface="Cambria"/>
              </a:rPr>
              <a:t>Relationship Between Number of Items and Billing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360" cap="rnd">
              <a:solidFill>
                <a:srgbClr val="4F81BD">
                  <a:alpha val="50000"/>
                </a:srgb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'Retail Checkout Data'!$D$2:$D$36</c:f>
              <c:numCache>
                <c:formatCode>General</c:formatCode>
                <c:ptCount val="35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12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8</c:v>
                </c:pt>
                <c:pt idx="12">
                  <c:v>11</c:v>
                </c:pt>
                <c:pt idx="13">
                  <c:v>9</c:v>
                </c:pt>
                <c:pt idx="14">
                  <c:v>8</c:v>
                </c:pt>
                <c:pt idx="15">
                  <c:v>10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9</c:v>
                </c:pt>
                <c:pt idx="20">
                  <c:v>11</c:v>
                </c:pt>
                <c:pt idx="21">
                  <c:v>8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12</c:v>
                </c:pt>
                <c:pt idx="26">
                  <c:v>8</c:v>
                </c:pt>
                <c:pt idx="27">
                  <c:v>8</c:v>
                </c:pt>
                <c:pt idx="28">
                  <c:v>11</c:v>
                </c:pt>
                <c:pt idx="29">
                  <c:v>11</c:v>
                </c:pt>
                <c:pt idx="30">
                  <c:v>9</c:v>
                </c:pt>
                <c:pt idx="31">
                  <c:v>11</c:v>
                </c:pt>
                <c:pt idx="32">
                  <c:v>9</c:v>
                </c:pt>
                <c:pt idx="33">
                  <c:v>9</c:v>
                </c:pt>
                <c:pt idx="34">
                  <c:v>8</c:v>
                </c:pt>
              </c:numCache>
            </c:numRef>
          </c:xVal>
          <c:yVal>
            <c:numRef>
              <c:f>'Retail Checkout Data'!$E$2:$E$36</c:f>
              <c:numCache>
                <c:formatCode>General</c:formatCode>
                <c:ptCount val="35"/>
                <c:pt idx="0">
                  <c:v>3.07</c:v>
                </c:pt>
                <c:pt idx="1">
                  <c:v>3</c:v>
                </c:pt>
                <c:pt idx="2">
                  <c:v>3.25</c:v>
                </c:pt>
                <c:pt idx="3">
                  <c:v>3.92</c:v>
                </c:pt>
                <c:pt idx="4">
                  <c:v>3.06</c:v>
                </c:pt>
                <c:pt idx="5">
                  <c:v>3.38</c:v>
                </c:pt>
                <c:pt idx="6">
                  <c:v>3.57</c:v>
                </c:pt>
                <c:pt idx="7">
                  <c:v>3.77</c:v>
                </c:pt>
                <c:pt idx="8">
                  <c:v>3.41</c:v>
                </c:pt>
                <c:pt idx="9">
                  <c:v>3.61</c:v>
                </c:pt>
                <c:pt idx="10">
                  <c:v>3.65</c:v>
                </c:pt>
                <c:pt idx="11">
                  <c:v>3.04</c:v>
                </c:pt>
                <c:pt idx="12">
                  <c:v>3.68</c:v>
                </c:pt>
                <c:pt idx="13">
                  <c:v>3.35</c:v>
                </c:pt>
                <c:pt idx="14">
                  <c:v>3</c:v>
                </c:pt>
                <c:pt idx="15">
                  <c:v>3.55</c:v>
                </c:pt>
                <c:pt idx="16">
                  <c:v>3.68</c:v>
                </c:pt>
                <c:pt idx="17">
                  <c:v>3.48</c:v>
                </c:pt>
                <c:pt idx="18">
                  <c:v>3.25</c:v>
                </c:pt>
                <c:pt idx="19">
                  <c:v>3.34</c:v>
                </c:pt>
                <c:pt idx="20">
                  <c:v>3.9</c:v>
                </c:pt>
                <c:pt idx="21">
                  <c:v>3.05</c:v>
                </c:pt>
                <c:pt idx="22">
                  <c:v>3.44</c:v>
                </c:pt>
                <c:pt idx="23">
                  <c:v>3.58</c:v>
                </c:pt>
                <c:pt idx="24">
                  <c:v>3.53</c:v>
                </c:pt>
                <c:pt idx="25">
                  <c:v>4</c:v>
                </c:pt>
                <c:pt idx="26">
                  <c:v>3.11</c:v>
                </c:pt>
                <c:pt idx="27">
                  <c:v>3.11</c:v>
                </c:pt>
                <c:pt idx="28">
                  <c:v>3.89</c:v>
                </c:pt>
                <c:pt idx="29">
                  <c:v>3.65</c:v>
                </c:pt>
                <c:pt idx="30">
                  <c:v>3.33</c:v>
                </c:pt>
                <c:pt idx="31">
                  <c:v>3.73</c:v>
                </c:pt>
                <c:pt idx="32">
                  <c:v>3.2</c:v>
                </c:pt>
                <c:pt idx="33">
                  <c:v>3.12</c:v>
                </c:pt>
                <c:pt idx="3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D-4EA3-B15E-C2A7C746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74639"/>
        <c:axId val="3284858"/>
      </c:scatterChart>
      <c:valAx>
        <c:axId val="65574639"/>
        <c:scaling>
          <c:orientation val="minMax"/>
          <c:max val="13"/>
          <c:min val="7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900" b="1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900" b="1" strike="noStrike" spc="-1">
                    <a:solidFill>
                      <a:srgbClr val="595959"/>
                    </a:solidFill>
                    <a:latin typeface="Calibri"/>
                  </a:rPr>
                  <a:t>No. of 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284858"/>
        <c:crosses val="autoZero"/>
        <c:crossBetween val="midCat"/>
      </c:valAx>
      <c:valAx>
        <c:axId val="3284858"/>
        <c:scaling>
          <c:orientation val="minMax"/>
          <c:max val="4.2"/>
          <c:min val="2.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900" b="1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900" b="1" strike="noStrike" spc="-1">
                    <a:solidFill>
                      <a:srgbClr val="595959"/>
                    </a:solidFill>
                    <a:latin typeface="Calibri"/>
                  </a:rPr>
                  <a:t>Billing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5574639"/>
        <c:crosses val="autoZero"/>
        <c:crossBetween val="midCat"/>
        <c:majorUnit val="0.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/>
              </a:rPr>
              <a:t>Relationship Between Queue Length and Customer Waiting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'Retail Checkout Data'!$B$2:$B$36</c:f>
              <c:numCache>
                <c:formatCode>General</c:formatCode>
                <c:ptCount val="35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  <c:pt idx="9">
                  <c:v>6</c:v>
                </c:pt>
                <c:pt idx="10">
                  <c:v>7</c:v>
                </c:pt>
                <c:pt idx="11">
                  <c:v>10</c:v>
                </c:pt>
                <c:pt idx="12">
                  <c:v>8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10</c:v>
                </c:pt>
                <c:pt idx="18">
                  <c:v>9</c:v>
                </c:pt>
                <c:pt idx="19">
                  <c:v>6</c:v>
                </c:pt>
                <c:pt idx="20">
                  <c:v>10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7</c:v>
                </c:pt>
                <c:pt idx="27">
                  <c:v>7</c:v>
                </c:pt>
                <c:pt idx="28">
                  <c:v>6</c:v>
                </c:pt>
                <c:pt idx="29">
                  <c:v>9</c:v>
                </c:pt>
                <c:pt idx="30">
                  <c:v>9</c:v>
                </c:pt>
                <c:pt idx="31">
                  <c:v>7</c:v>
                </c:pt>
                <c:pt idx="32">
                  <c:v>6</c:v>
                </c:pt>
                <c:pt idx="33">
                  <c:v>5</c:v>
                </c:pt>
                <c:pt idx="34">
                  <c:v>7</c:v>
                </c:pt>
              </c:numCache>
            </c:numRef>
          </c:xVal>
          <c:yVal>
            <c:numRef>
              <c:f>'Retail Checkout Data'!$C$2:$C$36</c:f>
              <c:numCache>
                <c:formatCode>General</c:formatCode>
                <c:ptCount val="35"/>
                <c:pt idx="0">
                  <c:v>7</c:v>
                </c:pt>
                <c:pt idx="1">
                  <c:v>10.74</c:v>
                </c:pt>
                <c:pt idx="2">
                  <c:v>9.23</c:v>
                </c:pt>
                <c:pt idx="3">
                  <c:v>12.39</c:v>
                </c:pt>
                <c:pt idx="4">
                  <c:v>7.73</c:v>
                </c:pt>
                <c:pt idx="5">
                  <c:v>9.27</c:v>
                </c:pt>
                <c:pt idx="6">
                  <c:v>8.69</c:v>
                </c:pt>
                <c:pt idx="7">
                  <c:v>9.65</c:v>
                </c:pt>
                <c:pt idx="8">
                  <c:v>13.46</c:v>
                </c:pt>
                <c:pt idx="9">
                  <c:v>9.0299999999999994</c:v>
                </c:pt>
                <c:pt idx="10">
                  <c:v>10.61</c:v>
                </c:pt>
                <c:pt idx="11">
                  <c:v>12.21</c:v>
                </c:pt>
                <c:pt idx="12">
                  <c:v>11.79</c:v>
                </c:pt>
                <c:pt idx="13">
                  <c:v>9.4499999999999993</c:v>
                </c:pt>
                <c:pt idx="14">
                  <c:v>9.7799999999999994</c:v>
                </c:pt>
                <c:pt idx="15">
                  <c:v>10.77</c:v>
                </c:pt>
                <c:pt idx="16">
                  <c:v>9.41</c:v>
                </c:pt>
                <c:pt idx="17">
                  <c:v>13.17</c:v>
                </c:pt>
                <c:pt idx="18">
                  <c:v>12.36</c:v>
                </c:pt>
                <c:pt idx="19">
                  <c:v>8.1</c:v>
                </c:pt>
                <c:pt idx="20">
                  <c:v>14.78</c:v>
                </c:pt>
                <c:pt idx="21">
                  <c:v>7.86</c:v>
                </c:pt>
                <c:pt idx="22">
                  <c:v>8.1999999999999993</c:v>
                </c:pt>
                <c:pt idx="23">
                  <c:v>11.89</c:v>
                </c:pt>
                <c:pt idx="24">
                  <c:v>12.72</c:v>
                </c:pt>
                <c:pt idx="25">
                  <c:v>13.18</c:v>
                </c:pt>
                <c:pt idx="26">
                  <c:v>9.1300000000000008</c:v>
                </c:pt>
                <c:pt idx="27">
                  <c:v>8.82</c:v>
                </c:pt>
                <c:pt idx="28">
                  <c:v>9.18</c:v>
                </c:pt>
                <c:pt idx="29">
                  <c:v>12.72</c:v>
                </c:pt>
                <c:pt idx="30">
                  <c:v>12.29</c:v>
                </c:pt>
                <c:pt idx="31">
                  <c:v>9.98</c:v>
                </c:pt>
                <c:pt idx="32">
                  <c:v>8.08</c:v>
                </c:pt>
                <c:pt idx="33">
                  <c:v>7</c:v>
                </c:pt>
                <c:pt idx="34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5-484F-988F-77F762541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45253"/>
        <c:axId val="8790997"/>
      </c:scatterChart>
      <c:valAx>
        <c:axId val="92045253"/>
        <c:scaling>
          <c:orientation val="minMax"/>
          <c:min val="4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Queue length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790997"/>
        <c:crosses val="autoZero"/>
        <c:crossBetween val="midCat"/>
      </c:valAx>
      <c:valAx>
        <c:axId val="8790997"/>
        <c:scaling>
          <c:orientation val="minMax"/>
          <c:min val="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/>
                  </a:rPr>
                  <a:t>Waiting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20452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Customer Waiting Time During Peak Hours</a:t>
            </a:r>
            <a:endParaRPr lang="en-US" sz="1600" b="1" i="0" u="none" strike="noStrike" spc="100" baseline="0">
              <a:solidFill>
                <a:srgbClr val="FFFFFF">
                  <a:lumMod val="95000"/>
                </a:srgb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endParaRPr>
          </a:p>
        </cx:rich>
      </cx:tx>
    </cx:title>
    <cx:plotArea>
      <cx:plotAreaRegion>
        <cx:series layoutId="clusteredColumn" uniqueId="{00000000-B345-4BE7-9FF0-A250751F8AB5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Customer Waiting Time (min)</a:t>
                </a:r>
                <a:endParaRPr lang="en-US" sz="900" b="0" i="0" u="none" strike="noStrike" baseline="0">
                  <a:solidFill>
                    <a:srgbClr val="FFFFFF">
                      <a:lumMod val="95000"/>
                    </a:srgb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Frequency (Number of Customers)</a:t>
                </a:r>
                <a:endParaRPr lang="en-US" sz="900" b="0" i="0" u="none" strike="noStrike" baseline="0">
                  <a:solidFill>
                    <a:srgbClr val="FFFFFF">
                      <a:lumMod val="95000"/>
                    </a:srgbClr>
                  </a:solidFill>
                  <a:latin typeface="Calibri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182880</xdr:colOff>
      <xdr:row>0</xdr:row>
      <xdr:rowOff>95400</xdr:rowOff>
    </xdr:from>
    <xdr:to>
      <xdr:col>15</xdr:col>
      <xdr:colOff>601560</xdr:colOff>
      <xdr:row>13</xdr:row>
      <xdr:rowOff>91080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175320</xdr:colOff>
      <xdr:row>14</xdr:row>
      <xdr:rowOff>26640</xdr:rowOff>
    </xdr:from>
    <xdr:to>
      <xdr:col>16</xdr:col>
      <xdr:colOff>7200</xdr:colOff>
      <xdr:row>26</xdr:row>
      <xdr:rowOff>98640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449580</xdr:colOff>
      <xdr:row>8</xdr:row>
      <xdr:rowOff>148590</xdr:rowOff>
    </xdr:from>
    <xdr:to>
      <xdr:col>24</xdr:col>
      <xdr:colOff>266700</xdr:colOff>
      <xdr:row>23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15F2AC5-B5AF-3C0A-2C22-F177A0B660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0160" y="1611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selection activeCell="L30" sqref="L30"/>
    </sheetView>
  </sheetViews>
  <sheetFormatPr defaultColWidth="8.6640625" defaultRowHeight="14.4" x14ac:dyDescent="0.3"/>
  <cols>
    <col min="2" max="2" width="12.109375" customWidth="1"/>
    <col min="3" max="4" width="11.5546875" customWidth="1"/>
    <col min="5" max="5" width="15.88671875" customWidth="1"/>
    <col min="6" max="6" width="26.5546875" customWidth="1"/>
    <col min="7" max="7" width="14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5</v>
      </c>
      <c r="C2" s="2">
        <v>7</v>
      </c>
      <c r="D2" s="2">
        <v>8</v>
      </c>
      <c r="E2" s="2">
        <v>3.07</v>
      </c>
      <c r="F2" s="2">
        <v>1</v>
      </c>
      <c r="G2" s="2">
        <v>2</v>
      </c>
    </row>
    <row r="3" spans="1:7" x14ac:dyDescent="0.3">
      <c r="A3" s="2">
        <v>2</v>
      </c>
      <c r="B3" s="2">
        <v>9</v>
      </c>
      <c r="C3" s="2">
        <v>10.74</v>
      </c>
      <c r="D3" s="2">
        <v>8</v>
      </c>
      <c r="E3" s="2">
        <v>3</v>
      </c>
      <c r="F3" s="2">
        <v>1</v>
      </c>
      <c r="G3" s="2">
        <v>2</v>
      </c>
    </row>
    <row r="4" spans="1:7" x14ac:dyDescent="0.3">
      <c r="A4" s="2">
        <v>3</v>
      </c>
      <c r="B4" s="2">
        <v>7</v>
      </c>
      <c r="C4" s="2">
        <v>9.23</v>
      </c>
      <c r="D4" s="2">
        <v>9</v>
      </c>
      <c r="E4" s="2">
        <v>3.25</v>
      </c>
      <c r="F4" s="2">
        <v>1.21</v>
      </c>
      <c r="G4" s="2">
        <v>2</v>
      </c>
    </row>
    <row r="5" spans="1:7" x14ac:dyDescent="0.3">
      <c r="A5" s="2">
        <v>4</v>
      </c>
      <c r="B5" s="2">
        <v>8</v>
      </c>
      <c r="C5" s="2">
        <v>12.39</v>
      </c>
      <c r="D5" s="2">
        <v>12</v>
      </c>
      <c r="E5" s="2">
        <v>3.92</v>
      </c>
      <c r="F5" s="2">
        <v>2.4300000000000002</v>
      </c>
      <c r="G5" s="2">
        <v>2</v>
      </c>
    </row>
    <row r="6" spans="1:7" x14ac:dyDescent="0.3">
      <c r="A6" s="2">
        <v>5</v>
      </c>
      <c r="B6" s="2">
        <v>6</v>
      </c>
      <c r="C6" s="2">
        <v>7.73</v>
      </c>
      <c r="D6" s="2">
        <v>8</v>
      </c>
      <c r="E6" s="2">
        <v>3.06</v>
      </c>
      <c r="F6" s="2">
        <v>1</v>
      </c>
      <c r="G6" s="2">
        <v>2</v>
      </c>
    </row>
    <row r="7" spans="1:7" x14ac:dyDescent="0.3">
      <c r="A7" s="2">
        <v>6</v>
      </c>
      <c r="B7" s="2">
        <v>6</v>
      </c>
      <c r="C7" s="2">
        <v>9.27</v>
      </c>
      <c r="D7" s="2">
        <v>10</v>
      </c>
      <c r="E7" s="2">
        <v>3.38</v>
      </c>
      <c r="F7" s="2">
        <v>1.58</v>
      </c>
      <c r="G7" s="2">
        <v>2</v>
      </c>
    </row>
    <row r="8" spans="1:7" x14ac:dyDescent="0.3">
      <c r="A8" s="2">
        <v>7</v>
      </c>
      <c r="B8" s="2">
        <v>5</v>
      </c>
      <c r="C8" s="2">
        <v>8.69</v>
      </c>
      <c r="D8" s="2">
        <v>10</v>
      </c>
      <c r="E8" s="2">
        <v>3.57</v>
      </c>
      <c r="F8" s="2">
        <v>1.71</v>
      </c>
      <c r="G8" s="2">
        <v>2</v>
      </c>
    </row>
    <row r="9" spans="1:7" x14ac:dyDescent="0.3">
      <c r="A9" s="2">
        <v>8</v>
      </c>
      <c r="B9" s="2">
        <v>6</v>
      </c>
      <c r="C9" s="2">
        <v>9.65</v>
      </c>
      <c r="D9" s="2">
        <v>11</v>
      </c>
      <c r="E9" s="2">
        <v>3.77</v>
      </c>
      <c r="F9" s="2">
        <v>2.15</v>
      </c>
      <c r="G9" s="2">
        <v>2</v>
      </c>
    </row>
    <row r="10" spans="1:7" x14ac:dyDescent="0.3">
      <c r="A10" s="2">
        <v>9</v>
      </c>
      <c r="B10" s="2">
        <v>10</v>
      </c>
      <c r="C10" s="2">
        <v>13.46</v>
      </c>
      <c r="D10" s="2">
        <v>10</v>
      </c>
      <c r="E10" s="2">
        <v>3.41</v>
      </c>
      <c r="F10" s="2">
        <v>1.57</v>
      </c>
      <c r="G10" s="2">
        <v>2</v>
      </c>
    </row>
    <row r="11" spans="1:7" x14ac:dyDescent="0.3">
      <c r="A11" s="2">
        <v>10</v>
      </c>
      <c r="B11" s="2">
        <v>6</v>
      </c>
      <c r="C11" s="2">
        <v>9.0299999999999994</v>
      </c>
      <c r="D11" s="2">
        <v>10</v>
      </c>
      <c r="E11" s="2">
        <v>3.61</v>
      </c>
      <c r="F11" s="2">
        <v>1.81</v>
      </c>
      <c r="G11" s="2">
        <v>2</v>
      </c>
    </row>
    <row r="12" spans="1:7" x14ac:dyDescent="0.3">
      <c r="A12" s="2">
        <v>11</v>
      </c>
      <c r="B12" s="2">
        <v>7</v>
      </c>
      <c r="C12" s="2">
        <v>10.61</v>
      </c>
      <c r="D12" s="2">
        <v>11</v>
      </c>
      <c r="E12" s="2">
        <v>3.65</v>
      </c>
      <c r="F12" s="2">
        <v>2.0099999999999998</v>
      </c>
      <c r="G12" s="2">
        <v>2</v>
      </c>
    </row>
    <row r="13" spans="1:7" x14ac:dyDescent="0.3">
      <c r="A13" s="2">
        <v>12</v>
      </c>
      <c r="B13" s="2">
        <v>10</v>
      </c>
      <c r="C13" s="2">
        <v>12.21</v>
      </c>
      <c r="D13" s="2">
        <v>8</v>
      </c>
      <c r="E13" s="2">
        <v>3.04</v>
      </c>
      <c r="F13" s="2">
        <v>1.01</v>
      </c>
      <c r="G13" s="2">
        <v>2</v>
      </c>
    </row>
    <row r="14" spans="1:7" x14ac:dyDescent="0.3">
      <c r="A14" s="2">
        <v>13</v>
      </c>
      <c r="B14" s="2">
        <v>8</v>
      </c>
      <c r="C14" s="2">
        <v>11.79</v>
      </c>
      <c r="D14" s="2">
        <v>11</v>
      </c>
      <c r="E14" s="2">
        <v>3.68</v>
      </c>
      <c r="F14" s="2">
        <v>2.1800000000000002</v>
      </c>
      <c r="G14" s="2">
        <v>2</v>
      </c>
    </row>
    <row r="15" spans="1:7" x14ac:dyDescent="0.3">
      <c r="A15" s="2">
        <v>14</v>
      </c>
      <c r="B15" s="2">
        <v>7</v>
      </c>
      <c r="C15" s="2">
        <v>9.4499999999999993</v>
      </c>
      <c r="D15" s="2">
        <v>9</v>
      </c>
      <c r="E15" s="2">
        <v>3.35</v>
      </c>
      <c r="F15" s="2">
        <v>1.43</v>
      </c>
      <c r="G15" s="2">
        <v>2</v>
      </c>
    </row>
    <row r="16" spans="1:7" x14ac:dyDescent="0.3">
      <c r="A16" s="2">
        <v>15</v>
      </c>
      <c r="B16" s="2">
        <v>7</v>
      </c>
      <c r="C16" s="2">
        <v>9.7799999999999994</v>
      </c>
      <c r="D16" s="2">
        <v>8</v>
      </c>
      <c r="E16" s="2">
        <v>3</v>
      </c>
      <c r="F16" s="2">
        <v>1</v>
      </c>
      <c r="G16" s="2">
        <v>2</v>
      </c>
    </row>
    <row r="17" spans="1:7" x14ac:dyDescent="0.3">
      <c r="A17" s="2">
        <v>16</v>
      </c>
      <c r="B17" s="2">
        <v>7</v>
      </c>
      <c r="C17" s="2">
        <v>10.77</v>
      </c>
      <c r="D17" s="2">
        <v>10</v>
      </c>
      <c r="E17" s="2">
        <v>3.55</v>
      </c>
      <c r="F17" s="2">
        <v>1.67</v>
      </c>
      <c r="G17" s="2">
        <v>2</v>
      </c>
    </row>
    <row r="18" spans="1:7" x14ac:dyDescent="0.3">
      <c r="A18" s="2">
        <v>17</v>
      </c>
      <c r="B18" s="2">
        <v>6</v>
      </c>
      <c r="C18" s="2">
        <v>9.41</v>
      </c>
      <c r="D18" s="2">
        <v>11</v>
      </c>
      <c r="E18" s="2">
        <v>3.68</v>
      </c>
      <c r="F18" s="2">
        <v>1.97</v>
      </c>
      <c r="G18" s="2">
        <v>2</v>
      </c>
    </row>
    <row r="19" spans="1:7" x14ac:dyDescent="0.3">
      <c r="A19" s="2">
        <v>18</v>
      </c>
      <c r="B19" s="2">
        <v>10</v>
      </c>
      <c r="C19" s="2">
        <v>13.17</v>
      </c>
      <c r="D19" s="2">
        <v>10</v>
      </c>
      <c r="E19" s="2">
        <v>3.48</v>
      </c>
      <c r="F19" s="2">
        <v>1.73</v>
      </c>
      <c r="G19" s="2">
        <v>2</v>
      </c>
    </row>
    <row r="20" spans="1:7" x14ac:dyDescent="0.3">
      <c r="A20" s="2">
        <v>19</v>
      </c>
      <c r="B20" s="2">
        <v>9</v>
      </c>
      <c r="C20" s="2">
        <v>12.36</v>
      </c>
      <c r="D20" s="2">
        <v>9</v>
      </c>
      <c r="E20" s="2">
        <v>3.25</v>
      </c>
      <c r="F20" s="2">
        <v>1.43</v>
      </c>
      <c r="G20" s="2">
        <v>2</v>
      </c>
    </row>
    <row r="21" spans="1:7" x14ac:dyDescent="0.3">
      <c r="A21" s="2">
        <v>20</v>
      </c>
      <c r="B21" s="2">
        <v>6</v>
      </c>
      <c r="C21" s="2">
        <v>8.1</v>
      </c>
      <c r="D21" s="2">
        <v>9</v>
      </c>
      <c r="E21" s="2">
        <v>3.34</v>
      </c>
      <c r="F21" s="2">
        <v>1.33</v>
      </c>
      <c r="G21" s="2">
        <v>2</v>
      </c>
    </row>
    <row r="22" spans="1:7" x14ac:dyDescent="0.3">
      <c r="A22" s="2">
        <v>21</v>
      </c>
      <c r="B22" s="2">
        <v>10</v>
      </c>
      <c r="C22" s="2">
        <v>14.78</v>
      </c>
      <c r="D22" s="2">
        <v>11</v>
      </c>
      <c r="E22" s="2">
        <v>3.9</v>
      </c>
      <c r="F22" s="2">
        <v>2.06</v>
      </c>
      <c r="G22" s="2">
        <v>2</v>
      </c>
    </row>
    <row r="23" spans="1:7" x14ac:dyDescent="0.3">
      <c r="A23" s="2">
        <v>22</v>
      </c>
      <c r="B23" s="2">
        <v>6</v>
      </c>
      <c r="C23" s="2">
        <v>7.86</v>
      </c>
      <c r="D23" s="2">
        <v>8</v>
      </c>
      <c r="E23" s="2">
        <v>3.05</v>
      </c>
      <c r="F23" s="2">
        <v>1.01</v>
      </c>
      <c r="G23" s="2">
        <v>2</v>
      </c>
    </row>
    <row r="24" spans="1:7" x14ac:dyDescent="0.3">
      <c r="A24" s="2">
        <v>23</v>
      </c>
      <c r="B24" s="2">
        <v>6</v>
      </c>
      <c r="C24" s="2">
        <v>8.1999999999999993</v>
      </c>
      <c r="D24" s="2">
        <v>10</v>
      </c>
      <c r="E24" s="2">
        <v>3.44</v>
      </c>
      <c r="F24" s="2">
        <v>1.6</v>
      </c>
      <c r="G24" s="2">
        <v>2</v>
      </c>
    </row>
    <row r="25" spans="1:7" x14ac:dyDescent="0.3">
      <c r="A25" s="2">
        <v>24</v>
      </c>
      <c r="B25" s="2">
        <v>9</v>
      </c>
      <c r="C25" s="2">
        <v>11.89</v>
      </c>
      <c r="D25" s="2">
        <v>10</v>
      </c>
      <c r="E25" s="2">
        <v>3.58</v>
      </c>
      <c r="F25" s="2">
        <v>1.7</v>
      </c>
      <c r="G25" s="2">
        <v>2</v>
      </c>
    </row>
    <row r="26" spans="1:7" x14ac:dyDescent="0.3">
      <c r="A26" s="2">
        <v>25</v>
      </c>
      <c r="B26" s="2">
        <v>9</v>
      </c>
      <c r="C26" s="2">
        <v>12.72</v>
      </c>
      <c r="D26" s="2">
        <v>10</v>
      </c>
      <c r="E26" s="2">
        <v>3.53</v>
      </c>
      <c r="F26" s="2">
        <v>1.6</v>
      </c>
      <c r="G26" s="2">
        <v>2</v>
      </c>
    </row>
    <row r="27" spans="1:7" x14ac:dyDescent="0.3">
      <c r="A27" s="2">
        <v>26</v>
      </c>
      <c r="B27" s="2">
        <v>9</v>
      </c>
      <c r="C27" s="2">
        <v>13.18</v>
      </c>
      <c r="D27" s="2">
        <v>12</v>
      </c>
      <c r="E27" s="2">
        <v>4</v>
      </c>
      <c r="F27" s="2">
        <v>2.4300000000000002</v>
      </c>
      <c r="G27" s="2">
        <v>2</v>
      </c>
    </row>
    <row r="28" spans="1:7" x14ac:dyDescent="0.3">
      <c r="A28" s="2">
        <v>27</v>
      </c>
      <c r="B28" s="2">
        <v>7</v>
      </c>
      <c r="C28" s="2">
        <v>9.1300000000000008</v>
      </c>
      <c r="D28" s="2">
        <v>8</v>
      </c>
      <c r="E28" s="2">
        <v>3.11</v>
      </c>
      <c r="F28" s="2">
        <v>1.1000000000000001</v>
      </c>
      <c r="G28" s="2">
        <v>2</v>
      </c>
    </row>
    <row r="29" spans="1:7" x14ac:dyDescent="0.3">
      <c r="A29" s="2">
        <v>28</v>
      </c>
      <c r="B29" s="2">
        <v>7</v>
      </c>
      <c r="C29" s="2">
        <v>8.82</v>
      </c>
      <c r="D29" s="2">
        <v>8</v>
      </c>
      <c r="E29" s="2">
        <v>3.11</v>
      </c>
      <c r="F29" s="2">
        <v>1.1299999999999999</v>
      </c>
      <c r="G29" s="2">
        <v>2</v>
      </c>
    </row>
    <row r="30" spans="1:7" x14ac:dyDescent="0.3">
      <c r="A30" s="2">
        <v>29</v>
      </c>
      <c r="B30" s="2">
        <v>6</v>
      </c>
      <c r="C30" s="2">
        <v>9.18</v>
      </c>
      <c r="D30" s="2">
        <v>11</v>
      </c>
      <c r="E30" s="2">
        <v>3.89</v>
      </c>
      <c r="F30" s="2">
        <v>2.06</v>
      </c>
      <c r="G30" s="2">
        <v>2</v>
      </c>
    </row>
    <row r="31" spans="1:7" x14ac:dyDescent="0.3">
      <c r="A31" s="2">
        <v>30</v>
      </c>
      <c r="B31" s="2">
        <v>9</v>
      </c>
      <c r="C31" s="2">
        <v>12.72</v>
      </c>
      <c r="D31" s="2">
        <v>11</v>
      </c>
      <c r="E31" s="2">
        <v>3.65</v>
      </c>
      <c r="F31" s="2">
        <v>2.06</v>
      </c>
      <c r="G31" s="2">
        <v>2</v>
      </c>
    </row>
    <row r="32" spans="1:7" x14ac:dyDescent="0.3">
      <c r="A32" s="2">
        <v>31</v>
      </c>
      <c r="B32" s="2">
        <v>9</v>
      </c>
      <c r="C32" s="2">
        <v>12.29</v>
      </c>
      <c r="D32" s="2">
        <v>9</v>
      </c>
      <c r="E32" s="2">
        <v>3.33</v>
      </c>
      <c r="F32" s="2">
        <v>1.41</v>
      </c>
      <c r="G32" s="2">
        <v>2</v>
      </c>
    </row>
    <row r="33" spans="1:7" x14ac:dyDescent="0.3">
      <c r="A33" s="2">
        <v>32</v>
      </c>
      <c r="B33" s="2">
        <v>7</v>
      </c>
      <c r="C33" s="2">
        <v>9.98</v>
      </c>
      <c r="D33" s="2">
        <v>11</v>
      </c>
      <c r="E33" s="2">
        <v>3.73</v>
      </c>
      <c r="F33" s="2">
        <v>2.06</v>
      </c>
      <c r="G33" s="2">
        <v>2</v>
      </c>
    </row>
    <row r="34" spans="1:7" x14ac:dyDescent="0.3">
      <c r="A34" s="2">
        <v>33</v>
      </c>
      <c r="B34" s="2">
        <v>6</v>
      </c>
      <c r="C34" s="2">
        <v>8.08</v>
      </c>
      <c r="D34" s="2">
        <v>9</v>
      </c>
      <c r="E34" s="2">
        <v>3.2</v>
      </c>
      <c r="F34" s="2">
        <v>1.38</v>
      </c>
      <c r="G34" s="2">
        <v>2</v>
      </c>
    </row>
    <row r="35" spans="1:7" x14ac:dyDescent="0.3">
      <c r="A35" s="2">
        <v>34</v>
      </c>
      <c r="B35" s="2">
        <v>5</v>
      </c>
      <c r="C35" s="2">
        <v>7</v>
      </c>
      <c r="D35" s="2">
        <v>9</v>
      </c>
      <c r="E35" s="2">
        <v>3.12</v>
      </c>
      <c r="F35" s="2">
        <v>1.39</v>
      </c>
      <c r="G35" s="2">
        <v>2</v>
      </c>
    </row>
    <row r="36" spans="1:7" x14ac:dyDescent="0.3">
      <c r="A36" s="2">
        <v>35</v>
      </c>
      <c r="B36" s="2">
        <v>7</v>
      </c>
      <c r="C36" s="2">
        <v>9.44</v>
      </c>
      <c r="D36" s="2">
        <v>8</v>
      </c>
      <c r="E36" s="2">
        <v>3</v>
      </c>
      <c r="F36" s="2">
        <v>1</v>
      </c>
      <c r="G36" s="2"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>
      <selection activeCell="A20" sqref="A20"/>
    </sheetView>
  </sheetViews>
  <sheetFormatPr defaultColWidth="8.6640625" defaultRowHeight="14.4" x14ac:dyDescent="0.3"/>
  <cols>
    <col min="1" max="1" width="28.5546875" customWidth="1"/>
    <col min="2" max="2" width="11.5546875" customWidth="1"/>
    <col min="3" max="3" width="77.109375" customWidth="1"/>
  </cols>
  <sheetData>
    <row r="1" spans="1:3" ht="19.5" customHeight="1" x14ac:dyDescent="0.3">
      <c r="A1" s="3" t="s">
        <v>7</v>
      </c>
      <c r="B1" s="3" t="s">
        <v>8</v>
      </c>
      <c r="C1" s="3" t="s">
        <v>9</v>
      </c>
    </row>
    <row r="2" spans="1:3" ht="19.5" customHeight="1" x14ac:dyDescent="0.3">
      <c r="A2" s="4" t="s">
        <v>10</v>
      </c>
      <c r="B2" s="3" t="str">
        <f>TEXT(AVERAGE('Retail Checkout Data'!C2:C36),"0.00")&amp;" min"</f>
        <v>10.29 min</v>
      </c>
      <c r="C2" s="4" t="s">
        <v>11</v>
      </c>
    </row>
    <row r="3" spans="1:3" ht="19.5" customHeight="1" x14ac:dyDescent="0.3">
      <c r="A3" s="4" t="s">
        <v>12</v>
      </c>
      <c r="B3" s="3" t="str">
        <f>TEXT(AVERAGE('Retail Checkout Data'!E2:E36),"0.00")&amp;" min"</f>
        <v>3.42 min</v>
      </c>
      <c r="C3" s="4" t="s">
        <v>13</v>
      </c>
    </row>
    <row r="4" spans="1:3" ht="19.5" customHeight="1" x14ac:dyDescent="0.3">
      <c r="A4" s="4" t="s">
        <v>14</v>
      </c>
      <c r="B4" s="3" t="str">
        <f>TEXT(AVERAGE('Retail Checkout Data'!F2:F36),"0.00")&amp;" min"</f>
        <v>1.58 min</v>
      </c>
      <c r="C4" s="4" t="s">
        <v>15</v>
      </c>
    </row>
    <row r="5" spans="1:3" ht="19.5" customHeight="1" x14ac:dyDescent="0.3">
      <c r="A5" s="4" t="s">
        <v>16</v>
      </c>
      <c r="B5" s="3" t="str">
        <f>TEXT(MAX('Retail Checkout Data'!C2:C36),"0.00")&amp;" min"</f>
        <v>14.78 min</v>
      </c>
      <c r="C5" s="4" t="s">
        <v>17</v>
      </c>
    </row>
    <row r="6" spans="1:3" ht="19.5" customHeight="1" x14ac:dyDescent="0.3">
      <c r="A6" s="4" t="s">
        <v>18</v>
      </c>
      <c r="B6" s="3" t="str">
        <f>TEXT(MIN('Retail Checkout Data'!C2:C36),"0.00")&amp;" min"</f>
        <v>7.00 min</v>
      </c>
      <c r="C6" s="4" t="s">
        <v>19</v>
      </c>
    </row>
    <row r="7" spans="1:3" ht="19.5" customHeight="1" x14ac:dyDescent="0.3">
      <c r="A7" s="4" t="s">
        <v>20</v>
      </c>
      <c r="B7" s="3" t="str">
        <f>TEXT(STDEV('Retail Checkout Data'!C2:C36),"0.00")&amp;" min"</f>
        <v>2.05 min</v>
      </c>
      <c r="C7" s="4" t="s">
        <v>21</v>
      </c>
    </row>
  </sheetData>
  <sheetProtection algorithmName="SHA-512" hashValue="u5CRZIjIM3wx/Dt07HFJTHHK7W3mweWyRr/jBWoBma0pcLRysJ49YaBGXMt+1IHNCkGXFCKUrNnAdbBT+VeOHA==" saltValue="EPHo1TevMeyzIe/9R2MVXA==" spinCount="100000" sheet="1" objects="1" scenarios="1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Checkout Data</vt:lpstr>
      <vt:lpstr>Measure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Skanda Gowda</cp:lastModifiedBy>
  <cp:revision>1</cp:revision>
  <dcterms:created xsi:type="dcterms:W3CDTF">2026-08-04T11:08:17Z</dcterms:created>
  <dcterms:modified xsi:type="dcterms:W3CDTF">2026-08-08T13:03:56Z</dcterms:modified>
  <dc:language>en-US</dc:language>
</cp:coreProperties>
</file>